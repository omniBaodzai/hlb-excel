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rinv\Downloads\"/>
    </mc:Choice>
  </mc:AlternateContent>
  <xr:revisionPtr revIDLastSave="0" documentId="13_ncr:1_{0004BD7C-4CE9-4221-9AFF-F8C07614DDA4}" xr6:coauthVersionLast="45" xr6:coauthVersionMax="45" xr10:uidLastSave="{00000000-0000-0000-0000-000000000000}"/>
  <bookViews>
    <workbookView xWindow="-110" yWindow="-110" windowWidth="19420" windowHeight="10420" tabRatio="759" xr2:uid="{00000000-000D-0000-FFFF-FFFF00000000}"/>
  </bookViews>
  <sheets>
    <sheet name="Vi du 1" sheetId="7" r:id="rId1"/>
    <sheet name="Vi du 2" sheetId="12" r:id="rId2"/>
    <sheet name="Vi du 3" sheetId="11" r:id="rId3"/>
    <sheet name="Vi du 4" sheetId="8" r:id="rId4"/>
    <sheet name="Vi du 5" sheetId="10" r:id="rId5"/>
    <sheet name="Vi du 6" sheetId="1" r:id="rId6"/>
    <sheet name="Vi du 7" sheetId="9" r:id="rId7"/>
    <sheet name="Vi du 8" sheetId="4" r:id="rId8"/>
    <sheet name="Vi du 9" sheetId="3" r:id="rId9"/>
    <sheet name="Vi du 10" sheetId="2" r:id="rId10"/>
  </sheets>
  <definedNames>
    <definedName name="_xlnm._FilterDatabase" localSheetId="5" hidden="1">'Vi du 6'!$A$2:$C$11</definedName>
  </definedNames>
  <calcPr calcId="181029"/>
</workbook>
</file>

<file path=xl/calcChain.xml><?xml version="1.0" encoding="utf-8"?>
<calcChain xmlns="http://schemas.openxmlformats.org/spreadsheetml/2006/main">
  <c r="C4" i="3" l="1" a="1"/>
  <c r="C4" i="3" s="1"/>
  <c r="C3" i="3" a="1"/>
  <c r="C3" i="3" s="1"/>
  <c r="E3" i="4" a="1"/>
  <c r="C5" i="3" l="1" a="1"/>
  <c r="C5" i="3" s="1"/>
  <c r="E3" i="4"/>
  <c r="I5" i="9" a="1"/>
  <c r="I5" i="9" s="1"/>
  <c r="C6" i="3" l="1" a="1"/>
  <c r="C6" i="3" s="1"/>
  <c r="C7" i="3" s="1" a="1"/>
  <c r="C7" i="3" s="1"/>
  <c r="G5" i="8"/>
  <c r="B8" i="11" l="1"/>
  <c r="B9" i="11"/>
  <c r="B6" i="11"/>
  <c r="B5" i="11"/>
  <c r="D4" i="2" l="1" a="1"/>
  <c r="D4" i="2" s="1"/>
  <c r="D5" i="2" a="1"/>
  <c r="D5" i="2" s="1"/>
  <c r="D3" i="2" a="1"/>
  <c r="D3" i="2" s="1"/>
  <c r="E3" i="2"/>
  <c r="E4" i="2"/>
  <c r="E5" i="2"/>
  <c r="B6" i="1"/>
  <c r="B9" i="1"/>
  <c r="B11" i="1" s="1"/>
  <c r="B5" i="1"/>
  <c r="B8" i="1" l="1"/>
  <c r="B10" i="1" s="1"/>
</calcChain>
</file>

<file path=xl/sharedStrings.xml><?xml version="1.0" encoding="utf-8"?>
<sst xmlns="http://schemas.openxmlformats.org/spreadsheetml/2006/main" count="100" uniqueCount="79">
  <si>
    <t>Ngày</t>
  </si>
  <si>
    <t>Cao</t>
  </si>
  <si>
    <t>Thấp</t>
  </si>
  <si>
    <t>Kết quả</t>
  </si>
  <si>
    <t>Mảng</t>
  </si>
  <si>
    <t>Có bao nhiêu số chứa các số sau</t>
  </si>
  <si>
    <t>Bắt đầu</t>
  </si>
  <si>
    <t>Kết thúc</t>
  </si>
  <si>
    <t>Nhỏ nhất</t>
  </si>
  <si>
    <t>Lớn nhất</t>
  </si>
  <si>
    <t>Trung Bình</t>
  </si>
  <si>
    <t>Tổng</t>
  </si>
  <si>
    <t>ROW(INDIRECT(A2&amp;":"&amp;B2))</t>
  </si>
  <si>
    <t>Rủi ro</t>
  </si>
  <si>
    <t>Doanh thu</t>
  </si>
  <si>
    <t>Điểm</t>
  </si>
  <si>
    <t>Điểm tối đa</t>
  </si>
  <si>
    <t>Nhiệm vụ</t>
  </si>
  <si>
    <t>NV 1</t>
  </si>
  <si>
    <t>NV 2</t>
  </si>
  <si>
    <t>NV 3</t>
  </si>
  <si>
    <t>NV 4</t>
  </si>
  <si>
    <t>NV 5</t>
  </si>
  <si>
    <t>% Hoàn thành</t>
  </si>
  <si>
    <t>Công thức mảng</t>
  </si>
  <si>
    <t>Hàm SUMPRODUCT</t>
  </si>
  <si>
    <t>% Hoàn Thành:</t>
  </si>
  <si>
    <t>blank</t>
  </si>
  <si>
    <t>=""</t>
  </si>
  <si>
    <t>Giá Trị</t>
  </si>
  <si>
    <t>Số ô trống (Blank)</t>
  </si>
  <si>
    <t>Số ô không trống (khác Blank)</t>
  </si>
  <si>
    <t>Số ô lỗi (#N/A, #Name,#Div/0)</t>
  </si>
  <si>
    <t xml:space="preserve">Hàm ISERROR bao gồm các lỗi: #N/A, #VALUE!, #REF!, #DIV/0!, #NUM!, #NAME và #NULL! </t>
  </si>
  <si>
    <t>Chuyển text thành số: *1, +0, -0, /1, thêm tiền tố -- đằng trước</t>
  </si>
  <si>
    <t>Số</t>
  </si>
  <si>
    <t>Tổng các chữ số</t>
  </si>
  <si>
    <t>Tính tổng từ m đến n</t>
  </si>
  <si>
    <t>m</t>
  </si>
  <si>
    <t>n</t>
  </si>
  <si>
    <t>Giá trị</t>
  </si>
  <si>
    <t>Gà Excel</t>
  </si>
  <si>
    <t>Rủi ro cao và doanh thu thấp</t>
  </si>
  <si>
    <t>Tên</t>
  </si>
  <si>
    <t>Điểm Toán</t>
  </si>
  <si>
    <t>HS 01</t>
  </si>
  <si>
    <t>HS 02</t>
  </si>
  <si>
    <t>HS 03</t>
  </si>
  <si>
    <t>HS 04</t>
  </si>
  <si>
    <t>HS 05</t>
  </si>
  <si>
    <t>HS 06</t>
  </si>
  <si>
    <t>HS 07</t>
  </si>
  <si>
    <t>Điểm 3 học sinh cao nhất</t>
  </si>
  <si>
    <t>Thóc</t>
  </si>
  <si>
    <t>Gạo</t>
  </si>
  <si>
    <t>Kem</t>
  </si>
  <si>
    <t>Rơm</t>
  </si>
  <si>
    <t>Danh sách duy nhất</t>
  </si>
  <si>
    <t>Công ty</t>
  </si>
  <si>
    <t>Gà Excel 1</t>
  </si>
  <si>
    <t>Gà Excel 2</t>
  </si>
  <si>
    <t>Gà Excel 3</t>
  </si>
  <si>
    <t>Gà Excel 4</t>
  </si>
  <si>
    <t>Gà Excel 5</t>
  </si>
  <si>
    <t>Gà Excel 6</t>
  </si>
  <si>
    <t>Gà Excel 7</t>
  </si>
  <si>
    <t>Năm 2019</t>
  </si>
  <si>
    <t>Năm 2020</t>
  </si>
  <si>
    <t>Thấp Nhất</t>
  </si>
  <si>
    <t>Cao Nhất</t>
  </si>
  <si>
    <t>Công ty Tăng Trưởng</t>
  </si>
  <si>
    <t>Sản Phẩm</t>
  </si>
  <si>
    <t>Số lượng</t>
  </si>
  <si>
    <t>Đơn Giá</t>
  </si>
  <si>
    <t>Tổng Tiền</t>
  </si>
  <si>
    <t>Công thức mảng trong excel là công thức chứa tham chiếu tới các mảng</t>
  </si>
  <si>
    <t>hay cụ thể hơn công thức mảng sẽ xử lý nhiều giá trị thay vì một giá trị</t>
  </si>
  <si>
    <t>như công thức excel thông thường.</t>
  </si>
  <si>
    <t>Số ngày đã thực hiện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</si>
</sst>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 tint="0.14999847407452621"/>
      <name val="Segoe U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Courier New"/>
      <family val="3"/>
    </font>
    <font>
      <sz val="13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6" tint="-0.499984740745262"/>
      </left>
      <right/>
      <top style="thin">
        <color theme="6" tint="-0.499984740745262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5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3" borderId="0" applyNumberFormat="0" applyBorder="0" applyAlignment="0" applyProtection="0"/>
    <xf numFmtId="0" fontId="5" fillId="0" borderId="9" applyNumberFormat="0" applyFont="0" applyFill="0" applyAlignment="0" applyProtection="0"/>
  </cellStyleXfs>
  <cellXfs count="4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Fill="1" applyBorder="1"/>
    <xf numFmtId="0" fontId="2" fillId="6" borderId="1" xfId="0" applyFont="1" applyFill="1" applyBorder="1"/>
    <xf numFmtId="0" fontId="8" fillId="0" borderId="0" xfId="0" applyFont="1"/>
    <xf numFmtId="0" fontId="2" fillId="6" borderId="0" xfId="0" applyFont="1" applyFill="1"/>
    <xf numFmtId="0" fontId="6" fillId="0" borderId="0" xfId="0" applyFont="1"/>
    <xf numFmtId="0" fontId="0" fillId="6" borderId="1" xfId="0" applyFill="1" applyBorder="1"/>
    <xf numFmtId="0" fontId="0" fillId="0" borderId="1" xfId="1" quotePrefix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7" borderId="10" xfId="3" applyFont="1" applyFill="1" applyBorder="1" applyAlignment="1">
      <alignment horizontal="center" vertical="center"/>
    </xf>
    <xf numFmtId="0" fontId="9" fillId="8" borderId="11" xfId="3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9" fillId="8" borderId="8" xfId="3" applyFont="1" applyFill="1" applyBorder="1" applyAlignment="1">
      <alignment horizontal="center" vertical="center" shrinkToFit="1"/>
    </xf>
    <xf numFmtId="0" fontId="10" fillId="0" borderId="1" xfId="1" applyNumberFormat="1" applyFont="1" applyFill="1" applyBorder="1" applyAlignment="1">
      <alignment horizontal="center" vertical="center"/>
    </xf>
    <xf numFmtId="0" fontId="10" fillId="0" borderId="1" xfId="1" quotePrefix="1" applyNumberFormat="1" applyFont="1" applyFill="1" applyBorder="1" applyAlignment="1">
      <alignment horizontal="center" vertical="center"/>
    </xf>
    <xf numFmtId="9" fontId="10" fillId="0" borderId="1" xfId="1" quotePrefix="1" applyNumberFormat="1" applyFont="1" applyFill="1" applyBorder="1" applyAlignment="1">
      <alignment horizontal="center" vertical="center"/>
    </xf>
    <xf numFmtId="0" fontId="10" fillId="9" borderId="1" xfId="4" applyFont="1" applyFill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10" fontId="10" fillId="9" borderId="9" xfId="2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0" fontId="11" fillId="0" borderId="0" xfId="2" applyNumberFormat="1" applyFont="1" applyAlignment="1">
      <alignment horizontal="center" vertical="center"/>
    </xf>
    <xf numFmtId="0" fontId="0" fillId="0" borderId="0" xfId="0" quotePrefix="1" applyAlignment="1">
      <alignment vertical="center"/>
    </xf>
    <xf numFmtId="0" fontId="0" fillId="4" borderId="1" xfId="0" applyFill="1" applyBorder="1"/>
    <xf numFmtId="0" fontId="7" fillId="7" borderId="1" xfId="3" applyFont="1" applyFill="1" applyBorder="1" applyAlignment="1">
      <alignment horizontal="center" vertical="center"/>
    </xf>
    <xf numFmtId="0" fontId="0" fillId="0" borderId="0" xfId="0" applyBorder="1"/>
    <xf numFmtId="10" fontId="10" fillId="0" borderId="0" xfId="2" applyNumberFormat="1" applyFont="1"/>
    <xf numFmtId="2" fontId="0" fillId="0" borderId="1" xfId="0" applyNumberForma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10" borderId="1" xfId="0" applyFill="1" applyBorder="1"/>
    <xf numFmtId="0" fontId="13" fillId="5" borderId="1" xfId="0" applyFont="1" applyFill="1" applyBorder="1"/>
    <xf numFmtId="0" fontId="13" fillId="6" borderId="0" xfId="0" applyFont="1" applyFill="1"/>
    <xf numFmtId="0" fontId="0" fillId="6" borderId="0" xfId="0" applyFill="1"/>
    <xf numFmtId="0" fontId="13" fillId="6" borderId="1" xfId="0" applyFont="1" applyFill="1" applyBorder="1"/>
  </cellXfs>
  <cellStyles count="5">
    <cellStyle name="60% - Accent1" xfId="3" builtinId="32"/>
    <cellStyle name="Currency" xfId="1" builtinId="4"/>
    <cellStyle name="Normal" xfId="0" builtinId="0"/>
    <cellStyle name="Percent" xfId="2" builtinId="5"/>
    <cellStyle name="v42_input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5" sqref="B5"/>
    </sheetView>
  </sheetViews>
  <sheetFormatPr defaultRowHeight="14.5" x14ac:dyDescent="0.35"/>
  <cols>
    <col min="1" max="1" width="10" customWidth="1"/>
    <col min="2" max="3" width="9.1796875" bestFit="1" customWidth="1"/>
    <col min="4" max="4" width="6.1796875" customWidth="1"/>
    <col min="5" max="5" width="5.81640625" customWidth="1"/>
    <col min="6" max="6" width="11.54296875" customWidth="1"/>
    <col min="7" max="7" width="4.6328125" customWidth="1"/>
  </cols>
  <sheetData>
    <row r="1" spans="1:8" ht="14.5" customHeight="1" x14ac:dyDescent="0.35"/>
    <row r="2" spans="1:8" x14ac:dyDescent="0.35">
      <c r="A2" s="10" t="s">
        <v>71</v>
      </c>
      <c r="B2" s="10" t="s">
        <v>72</v>
      </c>
      <c r="C2" s="10" t="s">
        <v>73</v>
      </c>
      <c r="F2" s="42" t="s">
        <v>74</v>
      </c>
      <c r="H2" t="s">
        <v>75</v>
      </c>
    </row>
    <row r="3" spans="1:8" x14ac:dyDescent="0.35">
      <c r="A3" s="1" t="s">
        <v>59</v>
      </c>
      <c r="B3" s="1">
        <v>177</v>
      </c>
      <c r="C3" s="1">
        <v>14</v>
      </c>
      <c r="F3" s="41"/>
      <c r="H3" t="s">
        <v>76</v>
      </c>
    </row>
    <row r="4" spans="1:8" x14ac:dyDescent="0.35">
      <c r="A4" s="1" t="s">
        <v>60</v>
      </c>
      <c r="B4" s="1">
        <v>118</v>
      </c>
      <c r="C4" s="1">
        <v>5</v>
      </c>
      <c r="H4" t="s">
        <v>77</v>
      </c>
    </row>
    <row r="5" spans="1:8" x14ac:dyDescent="0.35">
      <c r="A5" s="1" t="s">
        <v>61</v>
      </c>
      <c r="B5" s="1">
        <v>147</v>
      </c>
      <c r="C5" s="1">
        <v>16</v>
      </c>
    </row>
    <row r="6" spans="1:8" x14ac:dyDescent="0.35">
      <c r="A6" s="1" t="s">
        <v>62</v>
      </c>
      <c r="B6" s="1">
        <v>176</v>
      </c>
      <c r="C6" s="1">
        <v>4</v>
      </c>
    </row>
    <row r="7" spans="1:8" x14ac:dyDescent="0.35">
      <c r="A7" s="1" t="s">
        <v>63</v>
      </c>
      <c r="B7" s="1">
        <v>122</v>
      </c>
      <c r="C7" s="1">
        <v>17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65132-1633-4309-930B-72F934D2EE01}">
  <dimension ref="A1:G8"/>
  <sheetViews>
    <sheetView workbookViewId="0">
      <selection activeCell="B7" sqref="B7"/>
    </sheetView>
  </sheetViews>
  <sheetFormatPr defaultRowHeight="14.5" x14ac:dyDescent="0.35"/>
  <cols>
    <col min="1" max="1" width="10" customWidth="1"/>
    <col min="2" max="3" width="9.1796875" bestFit="1" customWidth="1"/>
    <col min="4" max="4" width="6.1796875" customWidth="1"/>
    <col min="5" max="5" width="5.81640625" customWidth="1"/>
    <col min="6" max="6" width="11.54296875" customWidth="1"/>
    <col min="7" max="7" width="11" customWidth="1"/>
    <col min="8" max="8" width="5.7265625" customWidth="1"/>
  </cols>
  <sheetData>
    <row r="1" spans="1:7" ht="14.5" customHeight="1" x14ac:dyDescent="0.35">
      <c r="A1" s="10" t="s">
        <v>58</v>
      </c>
      <c r="B1" s="10" t="s">
        <v>66</v>
      </c>
      <c r="C1" s="10" t="s">
        <v>67</v>
      </c>
      <c r="F1" s="43" t="s">
        <v>70</v>
      </c>
      <c r="G1" s="44"/>
    </row>
    <row r="2" spans="1:7" x14ac:dyDescent="0.35">
      <c r="A2" s="1" t="s">
        <v>59</v>
      </c>
      <c r="B2" s="1">
        <v>30</v>
      </c>
      <c r="C2" s="1">
        <v>93</v>
      </c>
      <c r="F2" s="42" t="s">
        <v>69</v>
      </c>
      <c r="G2" s="42" t="s">
        <v>68</v>
      </c>
    </row>
    <row r="3" spans="1:7" x14ac:dyDescent="0.35">
      <c r="A3" s="1" t="s">
        <v>60</v>
      </c>
      <c r="B3" s="1">
        <v>18</v>
      </c>
      <c r="C3" s="1">
        <v>60</v>
      </c>
      <c r="F3" s="41"/>
      <c r="G3" s="41"/>
    </row>
    <row r="4" spans="1:7" x14ac:dyDescent="0.35">
      <c r="A4" s="1" t="s">
        <v>61</v>
      </c>
      <c r="B4" s="1">
        <v>17</v>
      </c>
      <c r="C4" s="1">
        <v>60</v>
      </c>
    </row>
    <row r="5" spans="1:7" x14ac:dyDescent="0.35">
      <c r="A5" s="1" t="s">
        <v>62</v>
      </c>
      <c r="B5" s="1">
        <v>16</v>
      </c>
      <c r="C5" s="1">
        <v>58</v>
      </c>
    </row>
    <row r="6" spans="1:7" x14ac:dyDescent="0.35">
      <c r="A6" s="1" t="s">
        <v>63</v>
      </c>
      <c r="B6" s="1">
        <v>24</v>
      </c>
      <c r="C6" s="1">
        <v>100</v>
      </c>
    </row>
    <row r="7" spans="1:7" x14ac:dyDescent="0.35">
      <c r="A7" s="1" t="s">
        <v>64</v>
      </c>
      <c r="B7" s="1">
        <v>32</v>
      </c>
      <c r="C7" s="1">
        <v>78</v>
      </c>
    </row>
    <row r="8" spans="1:7" x14ac:dyDescent="0.35">
      <c r="A8" s="1" t="s">
        <v>65</v>
      </c>
      <c r="B8" s="1">
        <v>32</v>
      </c>
      <c r="C8" s="1">
        <v>77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9"/>
  <sheetViews>
    <sheetView workbookViewId="0">
      <selection activeCell="D19" sqref="D19"/>
    </sheetView>
  </sheetViews>
  <sheetFormatPr defaultRowHeight="14.5" x14ac:dyDescent="0.35"/>
  <cols>
    <col min="5" max="5" width="28" bestFit="1" customWidth="1"/>
  </cols>
  <sheetData>
    <row r="1" spans="2:7" x14ac:dyDescent="0.35">
      <c r="G1" t="s">
        <v>33</v>
      </c>
    </row>
    <row r="2" spans="2:7" x14ac:dyDescent="0.35">
      <c r="B2" s="32" t="s">
        <v>29</v>
      </c>
      <c r="C2" s="16"/>
      <c r="E2" s="31" t="s">
        <v>32</v>
      </c>
      <c r="G2" t="s">
        <v>34</v>
      </c>
    </row>
    <row r="3" spans="2:7" x14ac:dyDescent="0.35">
      <c r="B3" s="15">
        <v>67</v>
      </c>
      <c r="C3" s="16"/>
      <c r="E3" s="1"/>
    </row>
    <row r="4" spans="2:7" x14ac:dyDescent="0.35">
      <c r="B4" s="15">
        <v>23</v>
      </c>
      <c r="C4" s="16"/>
    </row>
    <row r="5" spans="2:7" x14ac:dyDescent="0.35">
      <c r="B5" s="15" t="e">
        <f>NA()</f>
        <v>#N/A</v>
      </c>
      <c r="C5" s="16"/>
      <c r="E5" s="31" t="s">
        <v>30</v>
      </c>
    </row>
    <row r="6" spans="2:7" x14ac:dyDescent="0.35">
      <c r="B6" s="15" t="e">
        <f>a</f>
        <v>#NAME?</v>
      </c>
      <c r="C6" s="16"/>
      <c r="E6" s="1"/>
    </row>
    <row r="7" spans="2:7" x14ac:dyDescent="0.35">
      <c r="B7" s="15"/>
      <c r="C7" s="16" t="s">
        <v>27</v>
      </c>
    </row>
    <row r="8" spans="2:7" x14ac:dyDescent="0.35">
      <c r="B8" s="15" t="str">
        <f>""</f>
        <v/>
      </c>
      <c r="C8" s="30" t="s">
        <v>28</v>
      </c>
      <c r="E8" s="31" t="s">
        <v>31</v>
      </c>
    </row>
    <row r="9" spans="2:7" x14ac:dyDescent="0.35">
      <c r="B9" s="1" t="e">
        <f>1/0</f>
        <v>#DIV/0!</v>
      </c>
      <c r="E9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D2" sqref="D2"/>
    </sheetView>
  </sheetViews>
  <sheetFormatPr defaultColWidth="9.1796875" defaultRowHeight="17" x14ac:dyDescent="0.4"/>
  <cols>
    <col min="1" max="1" width="11.7265625" style="19" customWidth="1"/>
    <col min="2" max="2" width="7.26953125" style="19" customWidth="1"/>
    <col min="3" max="3" width="15.453125" style="19" bestFit="1" customWidth="1"/>
    <col min="4" max="4" width="22.54296875" style="19" bestFit="1" customWidth="1"/>
    <col min="5" max="5" width="9.1796875" style="19"/>
    <col min="6" max="6" width="16.453125" style="19" customWidth="1"/>
    <col min="7" max="7" width="20.6328125" style="19" customWidth="1"/>
    <col min="8" max="16384" width="9.1796875" style="19"/>
  </cols>
  <sheetData>
    <row r="1" spans="1:9" x14ac:dyDescent="0.4">
      <c r="A1" s="17" t="s">
        <v>17</v>
      </c>
      <c r="B1" s="17" t="s">
        <v>0</v>
      </c>
      <c r="C1" s="17" t="s">
        <v>23</v>
      </c>
      <c r="D1" s="18" t="s">
        <v>78</v>
      </c>
      <c r="F1" s="20"/>
      <c r="G1" s="21" t="s">
        <v>24</v>
      </c>
      <c r="I1"/>
    </row>
    <row r="2" spans="1:9" x14ac:dyDescent="0.4">
      <c r="A2" s="22" t="s">
        <v>18</v>
      </c>
      <c r="B2" s="23">
        <v>10</v>
      </c>
      <c r="C2" s="24">
        <v>0.5</v>
      </c>
      <c r="D2" s="25"/>
      <c r="F2" s="26" t="s">
        <v>26</v>
      </c>
      <c r="G2" s="27"/>
      <c r="I2"/>
    </row>
    <row r="3" spans="1:9" x14ac:dyDescent="0.4">
      <c r="A3" s="22" t="s">
        <v>19</v>
      </c>
      <c r="B3" s="23">
        <v>5</v>
      </c>
      <c r="C3" s="24">
        <v>0.2</v>
      </c>
      <c r="D3" s="25"/>
      <c r="F3" s="20"/>
      <c r="G3" s="20"/>
      <c r="I3"/>
    </row>
    <row r="4" spans="1:9" x14ac:dyDescent="0.4">
      <c r="A4" s="22" t="s">
        <v>20</v>
      </c>
      <c r="B4" s="23">
        <v>8</v>
      </c>
      <c r="C4" s="24">
        <v>7.0000000000000007E-2</v>
      </c>
      <c r="D4" s="25"/>
      <c r="F4" s="20"/>
      <c r="G4" s="21" t="s">
        <v>25</v>
      </c>
      <c r="I4"/>
    </row>
    <row r="5" spans="1:9" x14ac:dyDescent="0.4">
      <c r="A5" s="22" t="s">
        <v>21</v>
      </c>
      <c r="B5" s="23">
        <v>3</v>
      </c>
      <c r="C5" s="24">
        <v>0.5</v>
      </c>
      <c r="D5" s="25"/>
      <c r="F5" s="26" t="s">
        <v>26</v>
      </c>
      <c r="G5" s="27">
        <f>SUMPRODUCT(B2:B6,C2:C6)/SUM(B2:B6)</f>
        <v>0.2405263157894737</v>
      </c>
    </row>
    <row r="6" spans="1:9" x14ac:dyDescent="0.4">
      <c r="A6" s="22" t="s">
        <v>22</v>
      </c>
      <c r="B6" s="23">
        <v>12</v>
      </c>
      <c r="C6" s="24">
        <v>0.09</v>
      </c>
      <c r="D6" s="25"/>
    </row>
    <row r="7" spans="1:9" x14ac:dyDescent="0.4">
      <c r="A7" s="28" t="s">
        <v>11</v>
      </c>
      <c r="B7" s="28"/>
      <c r="C7" s="29"/>
      <c r="D7" s="28"/>
    </row>
    <row r="8" spans="1:9" x14ac:dyDescent="0.4">
      <c r="F8" s="3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B7" sqref="B7"/>
    </sheetView>
  </sheetViews>
  <sheetFormatPr defaultRowHeight="14.5" x14ac:dyDescent="0.35"/>
  <cols>
    <col min="1" max="1" width="9.81640625" bestFit="1" customWidth="1"/>
    <col min="5" max="5" width="26.54296875" bestFit="1" customWidth="1"/>
  </cols>
  <sheetData>
    <row r="1" spans="1:5" x14ac:dyDescent="0.35">
      <c r="A1" s="45" t="s">
        <v>6</v>
      </c>
      <c r="B1" s="45" t="s">
        <v>7</v>
      </c>
      <c r="E1" t="s">
        <v>4</v>
      </c>
    </row>
    <row r="2" spans="1:5" x14ac:dyDescent="0.35">
      <c r="A2" s="1">
        <v>2</v>
      </c>
      <c r="B2" s="1">
        <v>100</v>
      </c>
      <c r="E2" t="s">
        <v>12</v>
      </c>
    </row>
    <row r="4" spans="1:5" x14ac:dyDescent="0.35">
      <c r="A4" s="14" t="s">
        <v>11</v>
      </c>
      <c r="B4" s="1"/>
    </row>
    <row r="5" spans="1:5" x14ac:dyDescent="0.35">
      <c r="A5" s="14" t="s">
        <v>10</v>
      </c>
      <c r="B5" s="1"/>
    </row>
    <row r="6" spans="1:5" x14ac:dyDescent="0.35">
      <c r="A6" s="14" t="s">
        <v>8</v>
      </c>
      <c r="B6" s="35"/>
    </row>
    <row r="7" spans="1:5" x14ac:dyDescent="0.35">
      <c r="A7" s="14" t="s">
        <v>9</v>
      </c>
      <c r="B7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F11"/>
  <sheetViews>
    <sheetView showGridLines="0" workbookViewId="0">
      <selection activeCell="E17" sqref="E17"/>
    </sheetView>
  </sheetViews>
  <sheetFormatPr defaultRowHeight="14.5" x14ac:dyDescent="0.35"/>
  <cols>
    <col min="2" max="2" width="10.81640625" customWidth="1"/>
    <col min="4" max="4" width="3.7265625" customWidth="1"/>
    <col min="5" max="5" width="15.7265625" customWidth="1"/>
    <col min="6" max="6" width="9.54296875" customWidth="1"/>
  </cols>
  <sheetData>
    <row r="1" spans="1:6" ht="15" thickBot="1" x14ac:dyDescent="0.4"/>
    <row r="2" spans="1:6" x14ac:dyDescent="0.35">
      <c r="A2" s="4" t="s">
        <v>13</v>
      </c>
      <c r="B2" s="4" t="s">
        <v>14</v>
      </c>
      <c r="C2" s="4" t="s">
        <v>15</v>
      </c>
      <c r="E2" s="36" t="s">
        <v>16</v>
      </c>
      <c r="F2" s="37"/>
    </row>
    <row r="3" spans="1:6" ht="15.5" x14ac:dyDescent="0.35">
      <c r="A3" s="2" t="s">
        <v>1</v>
      </c>
      <c r="B3" s="2" t="s">
        <v>1</v>
      </c>
      <c r="C3" s="2">
        <v>83</v>
      </c>
      <c r="D3" s="6"/>
      <c r="E3" s="38" t="s">
        <v>42</v>
      </c>
      <c r="F3" s="8"/>
    </row>
    <row r="4" spans="1:6" ht="15" thickBot="1" x14ac:dyDescent="0.4">
      <c r="A4" s="2" t="s">
        <v>1</v>
      </c>
      <c r="B4" s="2" t="s">
        <v>2</v>
      </c>
      <c r="C4" s="2">
        <v>75</v>
      </c>
      <c r="D4" s="6"/>
      <c r="E4" s="39"/>
      <c r="F4" s="7"/>
    </row>
    <row r="5" spans="1:6" x14ac:dyDescent="0.35">
      <c r="A5" s="2" t="s">
        <v>1</v>
      </c>
      <c r="B5" s="2" t="str">
        <f>B3</f>
        <v>Cao</v>
      </c>
      <c r="C5" s="2">
        <v>51</v>
      </c>
      <c r="D5" s="6"/>
    </row>
    <row r="6" spans="1:6" x14ac:dyDescent="0.35">
      <c r="A6" s="2" t="s">
        <v>1</v>
      </c>
      <c r="B6" s="2" t="str">
        <f t="shared" ref="B6:B11" si="0">B4</f>
        <v>Thấp</v>
      </c>
      <c r="C6" s="2">
        <v>65</v>
      </c>
      <c r="D6" s="6"/>
    </row>
    <row r="7" spans="1:6" x14ac:dyDescent="0.35">
      <c r="A7" s="2" t="s">
        <v>1</v>
      </c>
      <c r="B7" s="2" t="s">
        <v>2</v>
      </c>
      <c r="C7" s="2">
        <v>72</v>
      </c>
      <c r="D7" s="6"/>
    </row>
    <row r="8" spans="1:6" x14ac:dyDescent="0.35">
      <c r="A8" s="2" t="s">
        <v>2</v>
      </c>
      <c r="B8" s="2" t="str">
        <f>B5</f>
        <v>Cao</v>
      </c>
      <c r="C8" s="2">
        <v>47</v>
      </c>
      <c r="D8" s="6"/>
    </row>
    <row r="9" spans="1:6" x14ac:dyDescent="0.35">
      <c r="A9" s="2" t="s">
        <v>2</v>
      </c>
      <c r="B9" s="2" t="str">
        <f t="shared" si="0"/>
        <v>Thấp</v>
      </c>
      <c r="C9" s="2">
        <v>74</v>
      </c>
      <c r="D9" s="6"/>
    </row>
    <row r="10" spans="1:6" x14ac:dyDescent="0.35">
      <c r="A10" s="2" t="s">
        <v>2</v>
      </c>
      <c r="B10" s="2" t="str">
        <f t="shared" si="0"/>
        <v>Cao</v>
      </c>
      <c r="C10" s="2">
        <v>73</v>
      </c>
      <c r="D10" s="6"/>
    </row>
    <row r="11" spans="1:6" x14ac:dyDescent="0.35">
      <c r="A11" s="2" t="s">
        <v>2</v>
      </c>
      <c r="B11" s="2" t="str">
        <f t="shared" si="0"/>
        <v>Thấp</v>
      </c>
      <c r="C11" s="2">
        <v>94</v>
      </c>
      <c r="D11" s="6"/>
    </row>
  </sheetData>
  <autoFilter ref="A2:C11" xr:uid="{00000000-0009-0000-0000-000004000000}"/>
  <mergeCells count="2">
    <mergeCell ref="E2:F2"/>
    <mergeCell ref="E3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>
      <selection activeCell="I5" sqref="I5"/>
    </sheetView>
  </sheetViews>
  <sheetFormatPr defaultRowHeight="14.5" x14ac:dyDescent="0.35"/>
  <cols>
    <col min="10" max="10" width="9.81640625" customWidth="1"/>
  </cols>
  <sheetData>
    <row r="1" spans="1:11" x14ac:dyDescent="0.35">
      <c r="A1">
        <v>100</v>
      </c>
      <c r="B1">
        <v>4</v>
      </c>
      <c r="C1">
        <v>10</v>
      </c>
      <c r="D1">
        <v>6</v>
      </c>
      <c r="G1" t="s">
        <v>5</v>
      </c>
    </row>
    <row r="2" spans="1:11" x14ac:dyDescent="0.35">
      <c r="A2">
        <v>9</v>
      </c>
      <c r="B2">
        <v>4</v>
      </c>
      <c r="C2">
        <v>1</v>
      </c>
      <c r="D2">
        <v>8</v>
      </c>
      <c r="G2">
        <v>1</v>
      </c>
    </row>
    <row r="3" spans="1:11" ht="18.5" x14ac:dyDescent="0.45">
      <c r="A3">
        <v>1</v>
      </c>
      <c r="B3">
        <v>4</v>
      </c>
      <c r="C3">
        <v>2</v>
      </c>
      <c r="D3">
        <v>5</v>
      </c>
      <c r="G3">
        <v>2</v>
      </c>
      <c r="I3" s="12" t="s">
        <v>3</v>
      </c>
      <c r="J3" s="13"/>
      <c r="K3" s="11"/>
    </row>
    <row r="4" spans="1:11" x14ac:dyDescent="0.35">
      <c r="A4">
        <v>5</v>
      </c>
      <c r="B4">
        <v>7</v>
      </c>
      <c r="C4">
        <v>3</v>
      </c>
      <c r="D4">
        <v>3</v>
      </c>
      <c r="G4">
        <v>5</v>
      </c>
    </row>
    <row r="5" spans="1:11" x14ac:dyDescent="0.35">
      <c r="A5">
        <v>9</v>
      </c>
      <c r="B5">
        <v>8</v>
      </c>
      <c r="C5">
        <v>8</v>
      </c>
      <c r="D5">
        <v>4</v>
      </c>
      <c r="G5">
        <v>7</v>
      </c>
      <c r="I5">
        <f t="array" ref="I5">COUNT(IF(MATCH(A1:D11,G2:G5,0)&gt;0,A1:D11))</f>
        <v>16</v>
      </c>
    </row>
    <row r="6" spans="1:11" x14ac:dyDescent="0.35">
      <c r="A6">
        <v>10</v>
      </c>
      <c r="B6">
        <v>1</v>
      </c>
      <c r="C6">
        <v>5</v>
      </c>
      <c r="D6">
        <v>7</v>
      </c>
    </row>
    <row r="7" spans="1:11" x14ac:dyDescent="0.35">
      <c r="A7">
        <v>1</v>
      </c>
      <c r="B7">
        <v>10</v>
      </c>
      <c r="C7">
        <v>2</v>
      </c>
      <c r="D7">
        <v>1</v>
      </c>
    </row>
    <row r="8" spans="1:11" x14ac:dyDescent="0.35">
      <c r="A8">
        <v>3</v>
      </c>
      <c r="B8">
        <v>8</v>
      </c>
      <c r="C8">
        <v>8</v>
      </c>
      <c r="D8">
        <v>9</v>
      </c>
    </row>
    <row r="9" spans="1:11" x14ac:dyDescent="0.35">
      <c r="A9">
        <v>1</v>
      </c>
      <c r="B9">
        <v>9</v>
      </c>
      <c r="C9">
        <v>9</v>
      </c>
      <c r="D9">
        <v>1</v>
      </c>
    </row>
    <row r="10" spans="1:11" x14ac:dyDescent="0.35">
      <c r="A10">
        <v>10</v>
      </c>
      <c r="B10">
        <v>1</v>
      </c>
      <c r="C10">
        <v>4</v>
      </c>
      <c r="D10">
        <v>10</v>
      </c>
    </row>
    <row r="11" spans="1:11" x14ac:dyDescent="0.35">
      <c r="A11">
        <v>7</v>
      </c>
      <c r="B11">
        <v>8</v>
      </c>
      <c r="C11">
        <v>3</v>
      </c>
      <c r="D11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8"/>
  <sheetViews>
    <sheetView workbookViewId="0">
      <selection activeCell="E7" sqref="E7"/>
    </sheetView>
  </sheetViews>
  <sheetFormatPr defaultRowHeight="14.5" x14ac:dyDescent="0.35"/>
  <cols>
    <col min="1" max="1" width="3" customWidth="1"/>
    <col min="2" max="2" width="19.81640625" bestFit="1" customWidth="1"/>
    <col min="3" max="3" width="6.6328125" customWidth="1"/>
    <col min="5" max="5" width="14.7265625" bestFit="1" customWidth="1"/>
  </cols>
  <sheetData>
    <row r="2" spans="2:5" x14ac:dyDescent="0.35">
      <c r="B2" s="3" t="s">
        <v>35</v>
      </c>
      <c r="C2" s="33"/>
      <c r="D2" s="33"/>
      <c r="E2" s="31" t="s">
        <v>36</v>
      </c>
    </row>
    <row r="3" spans="2:5" x14ac:dyDescent="0.35">
      <c r="B3" s="1">
        <v>565</v>
      </c>
      <c r="C3" s="33"/>
      <c r="D3" s="33"/>
      <c r="E3" s="2">
        <f t="array" aca="1" ref="E3" ca="1">SUM(MID(B3,ROW(INDIRECT("1:3")),1)*1)</f>
        <v>16</v>
      </c>
    </row>
    <row r="6" spans="2:5" x14ac:dyDescent="0.35">
      <c r="B6" s="3" t="s">
        <v>37</v>
      </c>
      <c r="C6" s="3" t="s">
        <v>40</v>
      </c>
      <c r="E6" s="31" t="s">
        <v>36</v>
      </c>
    </row>
    <row r="7" spans="2:5" x14ac:dyDescent="0.35">
      <c r="B7" s="14" t="s">
        <v>38</v>
      </c>
      <c r="C7" s="1">
        <v>1</v>
      </c>
      <c r="E7" s="2"/>
    </row>
    <row r="8" spans="2:5" x14ac:dyDescent="0.35">
      <c r="B8" s="14" t="s">
        <v>39</v>
      </c>
      <c r="C8" s="1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A2:C9"/>
  <sheetViews>
    <sheetView showGridLines="0" workbookViewId="0">
      <selection activeCell="C6" sqref="C6"/>
    </sheetView>
  </sheetViews>
  <sheetFormatPr defaultRowHeight="14.5" x14ac:dyDescent="0.35"/>
  <cols>
    <col min="1" max="1" width="11" bestFit="1" customWidth="1"/>
    <col min="3" max="3" width="17.54296875" bestFit="1" customWidth="1"/>
  </cols>
  <sheetData>
    <row r="2" spans="1:3" x14ac:dyDescent="0.35">
      <c r="A2" s="3" t="s">
        <v>43</v>
      </c>
      <c r="C2" s="3" t="s">
        <v>57</v>
      </c>
    </row>
    <row r="3" spans="1:3" x14ac:dyDescent="0.35">
      <c r="A3" s="1" t="s">
        <v>41</v>
      </c>
      <c r="C3" s="1" t="str">
        <f t="array" ref="C3">INDEX($A$3:$A$9,MATCH(0,COUNTIF($C$2:$C2,$A$3:$A$9),0))</f>
        <v>Gà Excel</v>
      </c>
    </row>
    <row r="4" spans="1:3" x14ac:dyDescent="0.35">
      <c r="A4" s="1" t="s">
        <v>53</v>
      </c>
      <c r="C4" s="1" t="str">
        <f t="array" ref="C4">INDEX($A$3:$A$9,MATCH(0,COUNTIF($C$2:$C3,$A$3:$A$9),0))</f>
        <v>Thóc</v>
      </c>
    </row>
    <row r="5" spans="1:3" x14ac:dyDescent="0.35">
      <c r="A5" s="1" t="s">
        <v>54</v>
      </c>
      <c r="C5" s="1" t="str">
        <f t="array" ref="C5">INDEX($A$3:$A$9,MATCH(0,COUNTIF($C$2:$C4,$A$3:$A$9),0))</f>
        <v>Gạo</v>
      </c>
    </row>
    <row r="6" spans="1:3" x14ac:dyDescent="0.35">
      <c r="A6" s="1" t="s">
        <v>55</v>
      </c>
      <c r="C6" s="1" t="str">
        <f t="array" ref="C6">INDEX($A$3:$A$9,MATCH(0,COUNTIF($C$2:$C5,$A$3:$A$9),0))</f>
        <v>Kem</v>
      </c>
    </row>
    <row r="7" spans="1:3" x14ac:dyDescent="0.35">
      <c r="A7" s="1" t="s">
        <v>41</v>
      </c>
      <c r="C7" s="1" t="str">
        <f t="array" ref="C7">INDEX($A$3:$A$9,MATCH(0,COUNTIF($C$2:$C6,$A$3:$A$9),0))</f>
        <v>Rơm</v>
      </c>
    </row>
    <row r="8" spans="1:3" x14ac:dyDescent="0.35">
      <c r="A8" s="9" t="s">
        <v>55</v>
      </c>
    </row>
    <row r="9" spans="1:3" x14ac:dyDescent="0.35">
      <c r="A9" s="9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A2:E9"/>
  <sheetViews>
    <sheetView showGridLines="0" workbookViewId="0">
      <selection activeCell="D3" sqref="D3"/>
    </sheetView>
  </sheetViews>
  <sheetFormatPr defaultRowHeight="14.5" x14ac:dyDescent="0.35"/>
  <cols>
    <col min="1" max="1" width="11" bestFit="1" customWidth="1"/>
    <col min="2" max="2" width="11.7265625" bestFit="1" customWidth="1"/>
    <col min="3" max="3" width="6.54296875" customWidth="1"/>
    <col min="4" max="4" width="12.54296875" bestFit="1" customWidth="1"/>
    <col min="5" max="5" width="13.1796875" bestFit="1" customWidth="1"/>
  </cols>
  <sheetData>
    <row r="2" spans="1:5" x14ac:dyDescent="0.35">
      <c r="A2" s="3" t="s">
        <v>43</v>
      </c>
      <c r="B2" s="4" t="s">
        <v>44</v>
      </c>
      <c r="D2" s="40" t="s">
        <v>52</v>
      </c>
      <c r="E2" s="40"/>
    </row>
    <row r="3" spans="1:5" x14ac:dyDescent="0.35">
      <c r="A3" s="1" t="s">
        <v>45</v>
      </c>
      <c r="B3" s="2">
        <v>57</v>
      </c>
      <c r="D3" s="5" t="str">
        <f t="array" ref="D3">INDEX($A$3:$A$9,MATCH(LARGE($B$3:$B$9-ROW($B$3:$B$9)/10^5,ROWS(A$1:A1)),$B$3:$B$9-ROW($B$3:$B$9)/10^5,0))</f>
        <v>HS 06</v>
      </c>
      <c r="E3" s="2">
        <f>LARGE($B$3:$B$9,ROW(A1))</f>
        <v>99</v>
      </c>
    </row>
    <row r="4" spans="1:5" x14ac:dyDescent="0.35">
      <c r="A4" s="1" t="s">
        <v>46</v>
      </c>
      <c r="B4" s="2">
        <v>69</v>
      </c>
      <c r="D4" s="5" t="str">
        <f t="array" ref="D4">INDEX($A$3:$A$9,MATCH(LARGE($B$3:$B$9-ROW($B$3:$B$9)/10^5,ROWS(A$1:A2)),$B$3:$B$9-ROW($B$3:$B$9)/10^5,0))</f>
        <v>HS 04</v>
      </c>
      <c r="E4" s="2">
        <f t="shared" ref="E4:E5" si="0">LARGE($B$3:$B$9,ROW(A2))</f>
        <v>89</v>
      </c>
    </row>
    <row r="5" spans="1:5" x14ac:dyDescent="0.35">
      <c r="A5" s="1" t="s">
        <v>47</v>
      </c>
      <c r="B5" s="2">
        <v>53</v>
      </c>
      <c r="D5" s="5" t="str">
        <f t="array" ref="D5">INDEX($A$3:$A$9,MATCH(LARGE($B$3:$B$9-ROW($B$3:$B$9)/10^5,ROWS(A$1:A3)),$B$3:$B$9-ROW($B$3:$B$9)/10^5,0))</f>
        <v>HS 05</v>
      </c>
      <c r="E5" s="2">
        <f t="shared" si="0"/>
        <v>80</v>
      </c>
    </row>
    <row r="6" spans="1:5" x14ac:dyDescent="0.35">
      <c r="A6" s="1" t="s">
        <v>48</v>
      </c>
      <c r="B6" s="2">
        <v>89</v>
      </c>
    </row>
    <row r="7" spans="1:5" x14ac:dyDescent="0.35">
      <c r="A7" s="1" t="s">
        <v>49</v>
      </c>
      <c r="B7" s="2">
        <v>80</v>
      </c>
    </row>
    <row r="8" spans="1:5" x14ac:dyDescent="0.35">
      <c r="A8" s="1" t="s">
        <v>50</v>
      </c>
      <c r="B8" s="2">
        <v>99</v>
      </c>
    </row>
    <row r="9" spans="1:5" x14ac:dyDescent="0.35">
      <c r="A9" s="1" t="s">
        <v>51</v>
      </c>
      <c r="B9" s="2">
        <v>70</v>
      </c>
    </row>
  </sheetData>
  <mergeCells count="1"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Vi du 1</vt:lpstr>
      <vt:lpstr>Vi du 2</vt:lpstr>
      <vt:lpstr>Vi du 3</vt:lpstr>
      <vt:lpstr>Vi du 4</vt:lpstr>
      <vt:lpstr>Vi du 5</vt:lpstr>
      <vt:lpstr>Vi du 6</vt:lpstr>
      <vt:lpstr>Vi du 7</vt:lpstr>
      <vt:lpstr>Vi du 8</vt:lpstr>
      <vt:lpstr>Vi du 9</vt:lpstr>
      <vt:lpstr>Vi du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</dc:creator>
  <cp:lastModifiedBy>trinv</cp:lastModifiedBy>
  <cp:lastPrinted>2019-03-30T17:34:52Z</cp:lastPrinted>
  <dcterms:created xsi:type="dcterms:W3CDTF">2016-04-03T14:54:25Z</dcterms:created>
  <dcterms:modified xsi:type="dcterms:W3CDTF">2020-11-14T10:38:05Z</dcterms:modified>
</cp:coreProperties>
</file>