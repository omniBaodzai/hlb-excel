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trinv\Desktop\Excel co ban den nang cao\Bài 07 Hàm tìm kiếm Vlookup và Hlookup\"/>
    </mc:Choice>
  </mc:AlternateContent>
  <xr:revisionPtr revIDLastSave="0" documentId="13_ncr:1_{EC4A4A88-48AE-4A70-8012-D7612AF4DFA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VLOOKUP vs HLOOKUP" sheetId="1" r:id="rId1"/>
    <sheet name="Vlookup tìm tương đối" sheetId="3" r:id="rId2"/>
    <sheet name="INDEX vs MATCH" sheetId="7" r:id="rId3"/>
  </sheets>
  <externalReferences>
    <externalReference r:id="rId4"/>
  </externalReferences>
  <definedNames>
    <definedName name="LIST1" localSheetId="2">'INDEX vs MATCH'!#REF!</definedName>
    <definedName name="LIST1">'VLOOKUP vs HLOOKUP'!#REF!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3" l="1"/>
  <c r="A1" i="3"/>
</calcChain>
</file>

<file path=xl/sharedStrings.xml><?xml version="1.0" encoding="utf-8"?>
<sst xmlns="http://schemas.openxmlformats.org/spreadsheetml/2006/main" count="133" uniqueCount="72">
  <si>
    <t>4. Giá trị dùng để tìm kiếm nằm ở bên trái mục cần tìm kiếm</t>
  </si>
  <si>
    <r>
      <rPr>
        <sz val="11"/>
        <color rgb="FF7030A0"/>
        <rFont val="Times New Roman"/>
        <family val="1"/>
      </rPr>
      <t>range_lookup:</t>
    </r>
    <r>
      <rPr>
        <sz val="11"/>
        <color theme="1"/>
        <rFont val="Times New Roman"/>
        <family val="1"/>
      </rPr>
      <t xml:space="preserve"> Phạm vi tìm kiếm, TRUE (1) là dò tìm gần chính xác, FALSE (0) dò tìm chính xác</t>
    </r>
  </si>
  <si>
    <t>3. True có thể thay bằng 1, False có thể thay bằng 0</t>
  </si>
  <si>
    <r>
      <rPr>
        <sz val="11"/>
        <color rgb="FF7030A0"/>
        <rFont val="Times New Roman"/>
        <family val="1"/>
      </rPr>
      <t>col_index_num:</t>
    </r>
    <r>
      <rPr>
        <sz val="11"/>
        <color theme="1"/>
        <rFont val="Times New Roman"/>
        <family val="1"/>
      </rPr>
      <t xml:space="preserve"> Thứ tự của cột cần lấy dữ liệu trên bảng giá trị dò.</t>
    </r>
  </si>
  <si>
    <t>2. Bảng giá trị dò luôn được cố định bằng dấu $ (phím tắt F4)</t>
  </si>
  <si>
    <r>
      <rPr>
        <sz val="11"/>
        <color rgb="FF7030A0"/>
        <rFont val="Times New Roman"/>
        <family val="1"/>
      </rPr>
      <t>table_array:</t>
    </r>
    <r>
      <rPr>
        <sz val="11"/>
        <color theme="1"/>
        <rFont val="Times New Roman"/>
        <family val="1"/>
      </rPr>
      <t xml:space="preserve"> Bảng giá trị dò, để ở dạng địa chỉ Tuyệt đối (có dấu $ phía trước bằng cách nhấn F4)</t>
    </r>
  </si>
  <si>
    <t>1. Cột/Hàng đầu tiên của bảng giá trị dò phải chứa giá trị dò</t>
  </si>
  <si>
    <r>
      <rPr>
        <sz val="11"/>
        <color rgb="FF7030A0"/>
        <rFont val="Times New Roman"/>
        <family val="1"/>
      </rPr>
      <t>lookup_value:</t>
    </r>
    <r>
      <rPr>
        <sz val="11"/>
        <color theme="1"/>
        <rFont val="Times New Roman"/>
        <family val="1"/>
      </rPr>
      <t xml:space="preserve"> Giá trị dùng để dò tìm</t>
    </r>
  </si>
  <si>
    <t>Cú pháp</t>
  </si>
  <si>
    <t>Lương</t>
  </si>
  <si>
    <t>Ngày tuyển dụng</t>
  </si>
  <si>
    <t>098-716-7665</t>
  </si>
  <si>
    <t>098-522-4565</t>
  </si>
  <si>
    <t>093-817-3217</t>
  </si>
  <si>
    <t>098-831-6211</t>
  </si>
  <si>
    <t>090-594-4524</t>
  </si>
  <si>
    <t>Điện thoại</t>
  </si>
  <si>
    <t>Nguyễn Duy Dương</t>
  </si>
  <si>
    <t>HN</t>
  </si>
  <si>
    <t>DNG</t>
  </si>
  <si>
    <t>HCM</t>
  </si>
  <si>
    <t>Thành Phố</t>
  </si>
  <si>
    <t>Họ Tên</t>
  </si>
  <si>
    <t>Hoàng Bảo Trị</t>
  </si>
  <si>
    <t>Võ Quốc Việt</t>
  </si>
  <si>
    <t>Hoàng Quốc Bảo</t>
  </si>
  <si>
    <t>Nguyễn Văn Ban</t>
  </si>
  <si>
    <t>Hlookup</t>
  </si>
  <si>
    <t>Vlookup</t>
  </si>
  <si>
    <t>Họ và tên</t>
  </si>
  <si>
    <t>ĐTB</t>
  </si>
  <si>
    <t xml:space="preserve">Xếp loại </t>
  </si>
  <si>
    <t>BẢNG XẾP LOẠI</t>
  </si>
  <si>
    <t xml:space="preserve">Trần Minh </t>
  </si>
  <si>
    <t>Xếp Loại</t>
  </si>
  <si>
    <t>Note</t>
  </si>
  <si>
    <t xml:space="preserve">Nguyễn Bảo </t>
  </si>
  <si>
    <t xml:space="preserve">Yếu </t>
  </si>
  <si>
    <t>0&lt;=ĐTB&lt;5</t>
  </si>
  <si>
    <t>Lê Hồng</t>
  </si>
  <si>
    <t>Trung Bình</t>
  </si>
  <si>
    <t>5&lt;=ĐTB&lt;6</t>
  </si>
  <si>
    <t xml:space="preserve">Phạm Tuấn </t>
  </si>
  <si>
    <t>Trung Bình Khá</t>
  </si>
  <si>
    <t>6&lt;=ĐTB&lt;7</t>
  </si>
  <si>
    <t>Cao Bích</t>
  </si>
  <si>
    <t xml:space="preserve">Khá </t>
  </si>
  <si>
    <t>7&lt;=ĐTB&lt;8</t>
  </si>
  <si>
    <t>Lý Tuấn</t>
  </si>
  <si>
    <t>Giỏi</t>
  </si>
  <si>
    <t>8&lt;=ĐTB&lt;9</t>
  </si>
  <si>
    <t>Phan Công</t>
  </si>
  <si>
    <t>Xuất Sắc</t>
  </si>
  <si>
    <t>9&lt;=ĐTB</t>
  </si>
  <si>
    <t>Phạm vi tìm kiếm ==&gt;&gt; Tìm gần đúng = TRUE or 1 or Omitted</t>
  </si>
  <si>
    <t>Tránh Dùng</t>
  </si>
  <si>
    <t>*</t>
  </si>
  <si>
    <t>Tìm gần đúng tức tìm giá trị lớn nhất nhỏ hơn hoặc bằng giá trị dò tìm</t>
  </si>
  <si>
    <t>ĐTB phải sắp xếp tăng dần</t>
  </si>
  <si>
    <t>Giá trị dò tìm lớn hơn giá trị nhỏ nhất trong khoảng ĐTB</t>
  </si>
  <si>
    <r>
      <t>HLOOKUP(lookup_value,table_array,</t>
    </r>
    <r>
      <rPr>
        <b/>
        <sz val="11"/>
        <color rgb="FFFF0000"/>
        <rFont val="Times New Roman"/>
        <family val="1"/>
      </rPr>
      <t>row</t>
    </r>
    <r>
      <rPr>
        <b/>
        <sz val="11"/>
        <color theme="1"/>
        <rFont val="Times New Roman"/>
        <family val="1"/>
      </rPr>
      <t>_index_num,[range_lookup])</t>
    </r>
  </si>
  <si>
    <r>
      <t>VLOOKUP(lookup_value,table_array,</t>
    </r>
    <r>
      <rPr>
        <b/>
        <sz val="11"/>
        <color rgb="FFFF0000"/>
        <rFont val="Times New Roman"/>
        <family val="1"/>
      </rPr>
      <t>col</t>
    </r>
    <r>
      <rPr>
        <b/>
        <sz val="11"/>
        <color theme="1"/>
        <rFont val="Times New Roman"/>
        <family val="1"/>
      </rPr>
      <t>_index_num,[range_lookup])</t>
    </r>
  </si>
  <si>
    <t>INDEX vs MATCH</t>
  </si>
  <si>
    <t>Hàm Index</t>
  </si>
  <si>
    <t>INDEX(array, row_num, [column_num])</t>
  </si>
  <si>
    <r>
      <rPr>
        <b/>
        <sz val="11"/>
        <color rgb="FFFF0000"/>
        <rFont val="Calibri"/>
        <family val="2"/>
        <scheme val="minor"/>
      </rPr>
      <t>Array:</t>
    </r>
    <r>
      <rPr>
        <sz val="11"/>
        <color theme="1"/>
        <rFont val="Calibri"/>
        <family val="2"/>
        <scheme val="minor"/>
      </rPr>
      <t xml:space="preserve"> Một phạm vi ô</t>
    </r>
  </si>
  <si>
    <r>
      <rPr>
        <b/>
        <sz val="11"/>
        <color rgb="FFFF0000"/>
        <rFont val="Calibri"/>
        <family val="2"/>
        <scheme val="minor"/>
      </rPr>
      <t xml:space="preserve">Row_num: </t>
    </r>
    <r>
      <rPr>
        <sz val="11"/>
        <color theme="1"/>
        <rFont val="Calibri"/>
        <family val="2"/>
        <scheme val="minor"/>
      </rPr>
      <t>Chọn hàng trả về một giá trị</t>
    </r>
  </si>
  <si>
    <r>
      <rPr>
        <b/>
        <sz val="11"/>
        <color rgb="FFFF0000"/>
        <rFont val="Calibri"/>
        <family val="2"/>
        <scheme val="minor"/>
      </rPr>
      <t>Column_num:</t>
    </r>
    <r>
      <rPr>
        <sz val="11"/>
        <color theme="1"/>
        <rFont val="Calibri"/>
        <family val="2"/>
        <scheme val="minor"/>
      </rPr>
      <t xml:space="preserve"> Chọn hàng trả về một giá trị</t>
    </r>
  </si>
  <si>
    <t>Hàm Match</t>
  </si>
  <si>
    <t>MATCH(giá trị tìm kiếm, vùng tìm kiếm, [kiểu trả về])</t>
  </si>
  <si>
    <r>
      <rPr>
        <b/>
        <sz val="11"/>
        <color rgb="FFFF0000"/>
        <rFont val="Calibri"/>
        <family val="2"/>
        <scheme val="minor"/>
      </rPr>
      <t>[kiểu trả về]:</t>
    </r>
    <r>
      <rPr>
        <sz val="11"/>
        <color theme="1"/>
        <rFont val="Calibri"/>
        <family val="2"/>
        <scheme val="minor"/>
      </rPr>
      <t xml:space="preserve"> thường là 0 là kết quả chính xác. Mặc định là 1</t>
    </r>
  </si>
  <si>
    <t>VLOOKUP VÀ HLOOKUP TRONG EXCEL TỪ A-&gt;Z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</si>
</sst>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_ ;_ * \-#,##0_ ;_ * &quot;-&quot;??_ ;_ @_ "/>
    <numFmt numFmtId="166" formatCode="dd\-mm\-yyyy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rgb="FF7030A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20"/>
      <color theme="8"/>
      <name val="Times New Roman"/>
      <family val="1"/>
    </font>
    <font>
      <sz val="10"/>
      <name val="VNI-Times"/>
    </font>
    <font>
      <b/>
      <sz val="12"/>
      <name val="Times New Roman"/>
      <family val="1"/>
    </font>
    <font>
      <b/>
      <sz val="14"/>
      <color indexed="10"/>
      <name val="Times New Roman"/>
      <family val="1"/>
    </font>
    <font>
      <sz val="12"/>
      <name val="Times New Roman"/>
      <family val="1"/>
    </font>
    <font>
      <sz val="13"/>
      <color rgb="FFFF0000"/>
      <name val="Times New Roman"/>
      <family val="1"/>
    </font>
    <font>
      <b/>
      <sz val="2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32"/>
      </left>
      <right style="medium">
        <color indexed="32"/>
      </right>
      <top style="medium">
        <color indexed="32"/>
      </top>
      <bottom style="medium">
        <color indexed="32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/>
  </cellStyleXfs>
  <cellXfs count="29">
    <xf numFmtId="0" fontId="0" fillId="0" borderId="0" xfId="0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165" fontId="0" fillId="0" borderId="0" xfId="1" applyNumberFormat="1" applyFont="1" applyBorder="1"/>
    <xf numFmtId="165" fontId="0" fillId="0" borderId="1" xfId="1" applyNumberFormat="1" applyFont="1" applyBorder="1"/>
    <xf numFmtId="0" fontId="2" fillId="2" borderId="1" xfId="0" applyFont="1" applyFill="1" applyBorder="1"/>
    <xf numFmtId="166" fontId="0" fillId="0" borderId="0" xfId="0" applyNumberFormat="1" applyBorder="1"/>
    <xf numFmtId="166" fontId="0" fillId="0" borderId="1" xfId="0" applyNumberFormat="1" applyBorder="1"/>
    <xf numFmtId="0" fontId="0" fillId="0" borderId="0" xfId="0" applyBorder="1"/>
    <xf numFmtId="0" fontId="0" fillId="0" borderId="1" xfId="0" applyBorder="1"/>
    <xf numFmtId="0" fontId="0" fillId="3" borderId="1" xfId="0" applyFill="1" applyBorder="1"/>
    <xf numFmtId="0" fontId="4" fillId="4" borderId="0" xfId="0" applyFont="1" applyFill="1"/>
    <xf numFmtId="0" fontId="9" fillId="0" borderId="0" xfId="0" applyFont="1"/>
    <xf numFmtId="0" fontId="11" fillId="5" borderId="2" xfId="2" applyFont="1" applyFill="1" applyBorder="1" applyAlignment="1">
      <alignment horizontal="center" vertical="center"/>
    </xf>
    <xf numFmtId="0" fontId="13" fillId="5" borderId="2" xfId="2" applyFont="1" applyFill="1" applyBorder="1"/>
    <xf numFmtId="0" fontId="13" fillId="5" borderId="2" xfId="2" applyFont="1" applyFill="1" applyBorder="1" applyAlignment="1">
      <alignment horizontal="center"/>
    </xf>
    <xf numFmtId="0" fontId="13" fillId="6" borderId="2" xfId="2" applyFont="1" applyFill="1" applyBorder="1"/>
    <xf numFmtId="0" fontId="11" fillId="5" borderId="1" xfId="2" applyFont="1" applyFill="1" applyBorder="1" applyAlignment="1">
      <alignment horizontal="center" vertical="center"/>
    </xf>
    <xf numFmtId="0" fontId="11" fillId="5" borderId="1" xfId="2" applyFont="1" applyFill="1" applyBorder="1" applyAlignment="1">
      <alignment horizontal="left" vertical="center"/>
    </xf>
    <xf numFmtId="0" fontId="13" fillId="5" borderId="1" xfId="2" applyFont="1" applyFill="1" applyBorder="1" applyAlignment="1">
      <alignment horizontal="center"/>
    </xf>
    <xf numFmtId="0" fontId="13" fillId="5" borderId="1" xfId="2" applyFont="1" applyFill="1" applyBorder="1" applyAlignment="1">
      <alignment horizontal="left"/>
    </xf>
    <xf numFmtId="0" fontId="14" fillId="0" borderId="0" xfId="0" applyFont="1"/>
    <xf numFmtId="0" fontId="5" fillId="0" borderId="0" xfId="0" applyFont="1" applyAlignment="1">
      <alignment horizontal="right"/>
    </xf>
    <xf numFmtId="0" fontId="3" fillId="0" borderId="0" xfId="0" applyFont="1"/>
    <xf numFmtId="14" fontId="0" fillId="3" borderId="1" xfId="0" applyNumberFormat="1" applyFill="1" applyBorder="1"/>
    <xf numFmtId="0" fontId="15" fillId="7" borderId="0" xfId="0" applyFont="1" applyFill="1" applyAlignment="1">
      <alignment horizontal="center"/>
    </xf>
    <xf numFmtId="0" fontId="12" fillId="0" borderId="3" xfId="2" applyFont="1" applyBorder="1" applyAlignment="1">
      <alignment horizontal="center"/>
    </xf>
  </cellXfs>
  <cellStyles count="3">
    <cellStyle name="Comma 2" xfId="1" xr:uid="{00000000-0005-0000-0000-000000000000}"/>
    <cellStyle name="Normal" xfId="0" builtinId="0"/>
    <cellStyle name="Normal_Co Ban - Bai Tap 8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292101</xdr:colOff>
      <xdr:row>14</xdr:row>
      <xdr:rowOff>133351</xdr:rowOff>
    </xdr:from>
    <xdr:ext cx="558800" cy="558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1" y="2527301"/>
          <a:ext cx="558800" cy="558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196851</xdr:colOff>
      <xdr:row>12</xdr:row>
      <xdr:rowOff>76201</xdr:rowOff>
    </xdr:from>
    <xdr:to>
      <xdr:col>0</xdr:col>
      <xdr:colOff>641351</xdr:colOff>
      <xdr:row>14</xdr:row>
      <xdr:rowOff>133351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51" y="2590801"/>
          <a:ext cx="444500" cy="444500"/>
        </a:xfrm>
        <a:prstGeom prst="rect">
          <a:avLst/>
        </a:prstGeom>
      </xdr:spPr>
    </xdr:pic>
    <xdr:clientData/>
  </xdr:twoCellAnchor>
  <xdr:twoCellAnchor editAs="oneCell">
    <xdr:from>
      <xdr:col>4</xdr:col>
      <xdr:colOff>546100</xdr:colOff>
      <xdr:row>13</xdr:row>
      <xdr:rowOff>12700</xdr:rowOff>
    </xdr:from>
    <xdr:to>
      <xdr:col>5</xdr:col>
      <xdr:colOff>711199</xdr:colOff>
      <xdr:row>16</xdr:row>
      <xdr:rowOff>146049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8600" y="2705100"/>
          <a:ext cx="723899" cy="7238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esentation\Excel%20Function\Vlookup\Vlookup%20St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c luc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</sheetNames>
    <sheetDataSet>
      <sheetData sheetId="0">
        <row r="6">
          <cell r="A6" t="str">
            <v>03</v>
          </cell>
          <cell r="B6" t="str">
            <v>Vlookup để xếp loại học sinh (tìm gần đúng)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zoomScaleNormal="100" workbookViewId="0">
      <selection activeCell="C19" sqref="C19"/>
    </sheetView>
  </sheetViews>
  <sheetFormatPr defaultRowHeight="14.5"/>
  <cols>
    <col min="1" max="1" width="8.1796875" bestFit="1" customWidth="1"/>
    <col min="2" max="2" width="19.08984375" customWidth="1"/>
    <col min="3" max="3" width="14.453125" bestFit="1" customWidth="1"/>
    <col min="4" max="4" width="17.08984375" bestFit="1" customWidth="1"/>
    <col min="5" max="5" width="16.7265625" customWidth="1"/>
    <col min="6" max="6" width="12.08984375" bestFit="1" customWidth="1"/>
    <col min="7" max="7" width="12.453125" bestFit="1" customWidth="1"/>
    <col min="8" max="8" width="4.36328125" customWidth="1"/>
    <col min="9" max="9" width="17.453125" customWidth="1"/>
    <col min="10" max="10" width="12.36328125" bestFit="1" customWidth="1"/>
    <col min="11" max="11" width="18.26953125" bestFit="1" customWidth="1"/>
  </cols>
  <sheetData>
    <row r="1" spans="2:11" ht="22" customHeight="1">
      <c r="B1" s="27" t="s">
        <v>71</v>
      </c>
      <c r="C1" s="27"/>
      <c r="D1" s="27"/>
      <c r="E1" s="27"/>
      <c r="F1" s="27"/>
      <c r="G1" s="27"/>
      <c r="H1" s="27"/>
      <c r="I1" s="27"/>
      <c r="J1" s="27"/>
      <c r="K1" s="27"/>
    </row>
    <row r="2" spans="2:11" ht="17.5" customHeight="1"/>
    <row r="3" spans="2:11">
      <c r="B3" s="13" t="s">
        <v>28</v>
      </c>
      <c r="I3" s="13" t="s">
        <v>28</v>
      </c>
    </row>
    <row r="4" spans="2:11">
      <c r="B4" s="7" t="s">
        <v>22</v>
      </c>
      <c r="C4" s="7" t="s">
        <v>21</v>
      </c>
      <c r="D4" s="7" t="s">
        <v>16</v>
      </c>
      <c r="E4" s="7" t="s">
        <v>10</v>
      </c>
      <c r="F4" s="7" t="s">
        <v>9</v>
      </c>
      <c r="I4" s="7" t="s">
        <v>22</v>
      </c>
      <c r="J4" s="7" t="s">
        <v>16</v>
      </c>
    </row>
    <row r="5" spans="2:11">
      <c r="B5" s="11" t="s">
        <v>26</v>
      </c>
      <c r="C5" s="11" t="s">
        <v>18</v>
      </c>
      <c r="D5" s="11" t="s">
        <v>15</v>
      </c>
      <c r="E5" s="9">
        <v>38667</v>
      </c>
      <c r="F5" s="6">
        <v>79284</v>
      </c>
      <c r="I5" s="11" t="s">
        <v>24</v>
      </c>
      <c r="J5" s="26"/>
    </row>
    <row r="6" spans="2:11">
      <c r="B6" s="11" t="s">
        <v>17</v>
      </c>
      <c r="C6" s="11" t="s">
        <v>20</v>
      </c>
      <c r="D6" s="11" t="s">
        <v>14</v>
      </c>
      <c r="E6" s="9">
        <v>39729</v>
      </c>
      <c r="F6" s="6">
        <v>39555</v>
      </c>
    </row>
    <row r="7" spans="2:11">
      <c r="B7" s="11" t="s">
        <v>25</v>
      </c>
      <c r="C7" s="11" t="s">
        <v>19</v>
      </c>
      <c r="D7" s="11" t="s">
        <v>13</v>
      </c>
      <c r="E7" s="9">
        <v>41340</v>
      </c>
      <c r="F7" s="6">
        <v>38066</v>
      </c>
    </row>
    <row r="8" spans="2:11">
      <c r="B8" s="11" t="s">
        <v>24</v>
      </c>
      <c r="C8" s="11" t="s">
        <v>18</v>
      </c>
      <c r="D8" s="11" t="s">
        <v>12</v>
      </c>
      <c r="E8" s="9">
        <v>41046</v>
      </c>
      <c r="F8" s="6">
        <v>35751</v>
      </c>
    </row>
    <row r="9" spans="2:11">
      <c r="B9" s="11" t="s">
        <v>23</v>
      </c>
      <c r="C9" s="11" t="s">
        <v>18</v>
      </c>
      <c r="D9" s="11" t="s">
        <v>11</v>
      </c>
      <c r="E9" s="9">
        <v>40630</v>
      </c>
      <c r="F9" s="6">
        <v>61883</v>
      </c>
    </row>
    <row r="10" spans="2:11" ht="9" customHeight="1"/>
    <row r="11" spans="2:11">
      <c r="B11" s="13" t="s">
        <v>27</v>
      </c>
      <c r="I11" s="13" t="s">
        <v>27</v>
      </c>
    </row>
    <row r="12" spans="2:11">
      <c r="B12" s="7" t="s">
        <v>22</v>
      </c>
      <c r="C12" s="11" t="s">
        <v>26</v>
      </c>
      <c r="D12" s="11" t="s">
        <v>17</v>
      </c>
      <c r="E12" s="11" t="s">
        <v>25</v>
      </c>
      <c r="F12" s="11" t="s">
        <v>24</v>
      </c>
      <c r="G12" s="11" t="s">
        <v>23</v>
      </c>
      <c r="H12" s="10"/>
      <c r="I12" s="7" t="s">
        <v>22</v>
      </c>
      <c r="J12" s="7" t="s">
        <v>16</v>
      </c>
    </row>
    <row r="13" spans="2:11">
      <c r="B13" s="7" t="s">
        <v>21</v>
      </c>
      <c r="C13" s="11" t="s">
        <v>18</v>
      </c>
      <c r="D13" s="11" t="s">
        <v>20</v>
      </c>
      <c r="E13" s="11" t="s">
        <v>19</v>
      </c>
      <c r="F13" s="11" t="s">
        <v>18</v>
      </c>
      <c r="G13" s="11" t="s">
        <v>18</v>
      </c>
      <c r="H13" s="10"/>
      <c r="I13" s="11" t="s">
        <v>17</v>
      </c>
      <c r="J13" s="12"/>
    </row>
    <row r="14" spans="2:11">
      <c r="B14" s="7" t="s">
        <v>16</v>
      </c>
      <c r="C14" s="11" t="s">
        <v>15</v>
      </c>
      <c r="D14" s="11" t="s">
        <v>14</v>
      </c>
      <c r="E14" s="11" t="s">
        <v>13</v>
      </c>
      <c r="F14" s="11" t="s">
        <v>12</v>
      </c>
      <c r="G14" s="11" t="s">
        <v>11</v>
      </c>
      <c r="H14" s="10"/>
    </row>
    <row r="15" spans="2:11">
      <c r="B15" s="7" t="s">
        <v>10</v>
      </c>
      <c r="C15" s="9">
        <v>38667</v>
      </c>
      <c r="D15" s="9">
        <v>39729</v>
      </c>
      <c r="E15" s="9">
        <v>41340</v>
      </c>
      <c r="F15" s="9">
        <v>41046</v>
      </c>
      <c r="G15" s="9">
        <v>40630</v>
      </c>
      <c r="H15" s="8"/>
    </row>
    <row r="16" spans="2:11">
      <c r="B16" s="7" t="s">
        <v>9</v>
      </c>
      <c r="C16" s="6">
        <v>79284</v>
      </c>
      <c r="D16" s="6">
        <v>39555</v>
      </c>
      <c r="E16" s="6">
        <v>38066</v>
      </c>
      <c r="F16" s="6">
        <v>35751</v>
      </c>
      <c r="G16" s="6">
        <v>61883</v>
      </c>
      <c r="H16" s="5"/>
    </row>
    <row r="18" spans="1:9">
      <c r="A18" s="4" t="s">
        <v>8</v>
      </c>
      <c r="B18" s="3" t="s">
        <v>61</v>
      </c>
    </row>
    <row r="19" spans="1:9">
      <c r="A19" s="2"/>
      <c r="B19" s="2" t="s">
        <v>7</v>
      </c>
      <c r="I19" s="1" t="s">
        <v>6</v>
      </c>
    </row>
    <row r="20" spans="1:9">
      <c r="A20" s="2"/>
      <c r="B20" s="2" t="s">
        <v>5</v>
      </c>
      <c r="I20" s="1" t="s">
        <v>4</v>
      </c>
    </row>
    <row r="21" spans="1:9">
      <c r="A21" s="2"/>
      <c r="B21" s="2" t="s">
        <v>3</v>
      </c>
      <c r="I21" s="1" t="s">
        <v>2</v>
      </c>
    </row>
    <row r="22" spans="1:9">
      <c r="A22" s="2"/>
      <c r="B22" s="2" t="s">
        <v>1</v>
      </c>
      <c r="I22" s="1" t="s">
        <v>0</v>
      </c>
    </row>
    <row r="23" spans="1:9" ht="8" customHeight="1"/>
    <row r="24" spans="1:9">
      <c r="B24" s="3" t="s">
        <v>60</v>
      </c>
    </row>
  </sheetData>
  <mergeCells count="1">
    <mergeCell ref="B1:K1"/>
  </mergeCells>
  <dataValidations count="1">
    <dataValidation type="list" allowBlank="1" showInputMessage="1" showErrorMessage="1" sqref="I5" xr:uid="{00000000-0002-0000-0000-000000000000}">
      <formula1>$B$5:$B$9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C7" sqref="C7"/>
    </sheetView>
  </sheetViews>
  <sheetFormatPr defaultRowHeight="14"/>
  <cols>
    <col min="1" max="1" width="15.453125" style="2" bestFit="1" customWidth="1"/>
    <col min="2" max="2" width="10.81640625" style="2" customWidth="1"/>
    <col min="3" max="3" width="15" style="2" bestFit="1" customWidth="1"/>
    <col min="4" max="4" width="8.7265625" style="2"/>
    <col min="5" max="5" width="8" style="2" customWidth="1"/>
    <col min="6" max="6" width="15.36328125" style="2" customWidth="1"/>
    <col min="7" max="7" width="16.81640625" style="2" customWidth="1"/>
    <col min="8" max="16384" width="8.7265625" style="2"/>
  </cols>
  <sheetData>
    <row r="1" spans="1:7" ht="25.5">
      <c r="A1" s="14" t="str">
        <f>'[1]Muc luc'!A6&amp;". "&amp;'[1]Muc luc'!B6</f>
        <v>03. Vlookup để xếp loại học sinh (tìm gần đúng)</v>
      </c>
    </row>
    <row r="2" spans="1:7" ht="14.5" thickBot="1"/>
    <row r="3" spans="1:7" ht="18" thickBot="1">
      <c r="A3" s="15" t="s">
        <v>29</v>
      </c>
      <c r="B3" s="15" t="s">
        <v>30</v>
      </c>
      <c r="C3" s="15" t="s">
        <v>31</v>
      </c>
      <c r="E3" s="28" t="s">
        <v>32</v>
      </c>
      <c r="F3" s="28"/>
    </row>
    <row r="4" spans="1:7" ht="16" thickBot="1">
      <c r="A4" s="16" t="s">
        <v>33</v>
      </c>
      <c r="B4" s="17">
        <v>5.9</v>
      </c>
      <c r="C4" s="18"/>
      <c r="E4" s="19" t="s">
        <v>30</v>
      </c>
      <c r="F4" s="20" t="s">
        <v>34</v>
      </c>
      <c r="G4" s="20" t="s">
        <v>35</v>
      </c>
    </row>
    <row r="5" spans="1:7" ht="16" thickBot="1">
      <c r="A5" s="16" t="s">
        <v>36</v>
      </c>
      <c r="B5" s="17">
        <v>8.6</v>
      </c>
      <c r="C5" s="18"/>
      <c r="E5" s="21">
        <v>0</v>
      </c>
      <c r="F5" s="22" t="s">
        <v>37</v>
      </c>
      <c r="G5" s="22" t="s">
        <v>38</v>
      </c>
    </row>
    <row r="6" spans="1:7" ht="16" thickBot="1">
      <c r="A6" s="16" t="s">
        <v>39</v>
      </c>
      <c r="B6" s="17">
        <v>9.1999999999999993</v>
      </c>
      <c r="C6" s="18"/>
      <c r="E6" s="21">
        <v>5</v>
      </c>
      <c r="F6" s="22" t="s">
        <v>40</v>
      </c>
      <c r="G6" s="22" t="s">
        <v>41</v>
      </c>
    </row>
    <row r="7" spans="1:7" ht="16" thickBot="1">
      <c r="A7" s="16" t="s">
        <v>42</v>
      </c>
      <c r="B7" s="17">
        <v>9.5</v>
      </c>
      <c r="C7" s="18"/>
      <c r="E7" s="21">
        <v>6</v>
      </c>
      <c r="F7" s="22" t="s">
        <v>43</v>
      </c>
      <c r="G7" s="22" t="s">
        <v>44</v>
      </c>
    </row>
    <row r="8" spans="1:7" ht="16" thickBot="1">
      <c r="A8" s="16" t="s">
        <v>45</v>
      </c>
      <c r="B8" s="17">
        <v>3.5</v>
      </c>
      <c r="C8" s="18"/>
      <c r="E8" s="21">
        <v>7</v>
      </c>
      <c r="F8" s="22" t="s">
        <v>46</v>
      </c>
      <c r="G8" s="22" t="s">
        <v>47</v>
      </c>
    </row>
    <row r="9" spans="1:7" ht="16" thickBot="1">
      <c r="A9" s="16" t="s">
        <v>48</v>
      </c>
      <c r="B9" s="17">
        <v>6.4</v>
      </c>
      <c r="C9" s="18"/>
      <c r="E9" s="21">
        <v>8</v>
      </c>
      <c r="F9" s="22" t="s">
        <v>49</v>
      </c>
      <c r="G9" s="22" t="s">
        <v>50</v>
      </c>
    </row>
    <row r="10" spans="1:7" ht="16" thickBot="1">
      <c r="A10" s="16" t="s">
        <v>51</v>
      </c>
      <c r="B10" s="17">
        <v>8.6</v>
      </c>
      <c r="C10" s="18"/>
      <c r="E10" s="21">
        <v>9</v>
      </c>
      <c r="F10" s="22" t="s">
        <v>52</v>
      </c>
      <c r="G10" s="22" t="s">
        <v>53</v>
      </c>
    </row>
    <row r="12" spans="1:7">
      <c r="E12" s="2" t="s">
        <v>54</v>
      </c>
    </row>
    <row r="14" spans="1:7" ht="16.5">
      <c r="B14" s="23" t="s">
        <v>55</v>
      </c>
    </row>
    <row r="15" spans="1:7" ht="14.5" thickBot="1"/>
    <row r="16" spans="1:7" ht="15.5" thickBot="1">
      <c r="A16" s="15" t="s">
        <v>29</v>
      </c>
      <c r="B16" s="15" t="s">
        <v>30</v>
      </c>
      <c r="C16" s="15" t="s">
        <v>31</v>
      </c>
    </row>
    <row r="17" spans="1:6" ht="16" thickBot="1">
      <c r="A17" s="16" t="s">
        <v>33</v>
      </c>
      <c r="B17" s="17">
        <v>5.9</v>
      </c>
      <c r="C17" s="18" t="str">
        <f>IF(B17&lt;5,"Yếu",IF(B17&lt;6,"Trung Bình Khá",IF(B17&lt;7,"Khá",IF(B17&lt;8,"Giỏi","Xuất Sắc"))))</f>
        <v>Trung Bình Khá</v>
      </c>
    </row>
    <row r="18" spans="1:6">
      <c r="E18" s="24" t="s">
        <v>56</v>
      </c>
      <c r="F18" s="2" t="s">
        <v>57</v>
      </c>
    </row>
    <row r="19" spans="1:6">
      <c r="E19" s="24" t="s">
        <v>56</v>
      </c>
      <c r="F19" s="2" t="s">
        <v>58</v>
      </c>
    </row>
    <row r="20" spans="1:6">
      <c r="E20" s="24" t="s">
        <v>56</v>
      </c>
      <c r="F20" s="2" t="s">
        <v>59</v>
      </c>
    </row>
  </sheetData>
  <mergeCells count="1">
    <mergeCell ref="E3:F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18"/>
  <sheetViews>
    <sheetView zoomScaleNormal="100" workbookViewId="0">
      <selection activeCell="B13" sqref="B13"/>
    </sheetView>
  </sheetViews>
  <sheetFormatPr defaultRowHeight="14.5"/>
  <cols>
    <col min="1" max="1" width="8.1796875" bestFit="1" customWidth="1"/>
    <col min="2" max="2" width="19.08984375" customWidth="1"/>
    <col min="3" max="4" width="17.08984375" bestFit="1" customWidth="1"/>
    <col min="5" max="5" width="16.7265625" customWidth="1"/>
    <col min="6" max="6" width="12.08984375" bestFit="1" customWidth="1"/>
    <col min="7" max="7" width="12.453125" bestFit="1" customWidth="1"/>
    <col min="8" max="8" width="14.453125" bestFit="1" customWidth="1"/>
    <col min="9" max="9" width="12.36328125" bestFit="1" customWidth="1"/>
    <col min="10" max="10" width="18.26953125" bestFit="1" customWidth="1"/>
  </cols>
  <sheetData>
    <row r="2" spans="1:8">
      <c r="B2" s="13" t="s">
        <v>62</v>
      </c>
      <c r="H2" s="7" t="s">
        <v>63</v>
      </c>
    </row>
    <row r="3" spans="1:8">
      <c r="B3" s="7" t="s">
        <v>21</v>
      </c>
      <c r="C3" s="7" t="s">
        <v>22</v>
      </c>
      <c r="D3" s="7" t="s">
        <v>16</v>
      </c>
      <c r="E3" s="7" t="s">
        <v>10</v>
      </c>
      <c r="F3" s="7" t="s">
        <v>9</v>
      </c>
      <c r="H3" s="25" t="s">
        <v>64</v>
      </c>
    </row>
    <row r="4" spans="1:8">
      <c r="B4" s="11" t="s">
        <v>18</v>
      </c>
      <c r="C4" s="11" t="s">
        <v>26</v>
      </c>
      <c r="D4" s="11" t="s">
        <v>15</v>
      </c>
      <c r="E4" s="9">
        <v>38667</v>
      </c>
      <c r="F4" s="6">
        <v>79284</v>
      </c>
      <c r="H4" t="s">
        <v>65</v>
      </c>
    </row>
    <row r="5" spans="1:8">
      <c r="B5" s="11" t="s">
        <v>20</v>
      </c>
      <c r="C5" s="11" t="s">
        <v>17</v>
      </c>
      <c r="D5" s="11" t="s">
        <v>14</v>
      </c>
      <c r="E5" s="9">
        <v>39729</v>
      </c>
      <c r="F5" s="6">
        <v>39555</v>
      </c>
      <c r="H5" t="s">
        <v>66</v>
      </c>
    </row>
    <row r="6" spans="1:8">
      <c r="B6" s="11" t="s">
        <v>19</v>
      </c>
      <c r="C6" s="11" t="s">
        <v>25</v>
      </c>
      <c r="D6" s="11" t="s">
        <v>13</v>
      </c>
      <c r="E6" s="9">
        <v>41340</v>
      </c>
      <c r="F6" s="6">
        <v>38066</v>
      </c>
      <c r="H6" t="s">
        <v>67</v>
      </c>
    </row>
    <row r="7" spans="1:8">
      <c r="B7" s="11" t="s">
        <v>18</v>
      </c>
      <c r="C7" s="11" t="s">
        <v>24</v>
      </c>
      <c r="D7" s="11" t="s">
        <v>12</v>
      </c>
      <c r="E7" s="9">
        <v>41046</v>
      </c>
      <c r="F7" s="6">
        <v>35751</v>
      </c>
    </row>
    <row r="8" spans="1:8">
      <c r="B8" s="11" t="s">
        <v>18</v>
      </c>
      <c r="C8" s="11" t="s">
        <v>23</v>
      </c>
      <c r="D8" s="11" t="s">
        <v>11</v>
      </c>
      <c r="E8" s="9">
        <v>40630</v>
      </c>
      <c r="F8" s="6">
        <v>61883</v>
      </c>
    </row>
    <row r="11" spans="1:8">
      <c r="A11" s="4"/>
      <c r="B11" s="3"/>
    </row>
    <row r="12" spans="1:8">
      <c r="A12" s="2"/>
      <c r="B12" s="13" t="s">
        <v>62</v>
      </c>
    </row>
    <row r="13" spans="1:8">
      <c r="A13" s="2"/>
      <c r="B13" s="7" t="s">
        <v>22</v>
      </c>
      <c r="C13" s="7" t="s">
        <v>16</v>
      </c>
    </row>
    <row r="14" spans="1:8">
      <c r="A14" s="2"/>
      <c r="B14" s="11" t="s">
        <v>25</v>
      </c>
      <c r="C14" s="12"/>
      <c r="H14" s="7" t="s">
        <v>68</v>
      </c>
    </row>
    <row r="15" spans="1:8">
      <c r="A15" s="2"/>
      <c r="B15" s="2"/>
      <c r="E15" s="1"/>
      <c r="H15" s="25" t="s">
        <v>69</v>
      </c>
    </row>
    <row r="16" spans="1:8">
      <c r="E16" s="1"/>
      <c r="H16" t="s">
        <v>70</v>
      </c>
    </row>
    <row r="17" spans="5:5">
      <c r="E17" s="1"/>
    </row>
    <row r="18" spans="5:5">
      <c r="E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 vs HLOOKUP</vt:lpstr>
      <vt:lpstr>Vlookup tìm tương đối</vt:lpstr>
      <vt:lpstr>INDEX vs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trinv</cp:lastModifiedBy>
  <dcterms:created xsi:type="dcterms:W3CDTF">2020-02-05T14:49:42Z</dcterms:created>
  <dcterms:modified xsi:type="dcterms:W3CDTF">2020-10-19T15:27:13Z</dcterms:modified>
</cp:coreProperties>
</file>